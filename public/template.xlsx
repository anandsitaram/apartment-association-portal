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ep 2026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m/d/yyyy"/>
    <numFmt numFmtId="166" formatCode="[$-F800]dddd&quot;, &quot;mmmm dd&quot;, &quot;yyyy"/>
  </numFmts>
  <fonts count="14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Arial"/>
      <charset val="1"/>
      <family val="2"/>
      <b val="1"/>
      <color rgb="FF1F4E79"/>
      <sz val="16"/>
    </font>
    <font>
      <name val="Arial"/>
      <charset val="1"/>
      <family val="2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family val="2"/>
      <b val="1"/>
      <color rgb="FF000000"/>
      <sz val="11"/>
    </font>
    <font>
      <name val="Arial"/>
      <charset val="1"/>
      <color rgb="FF7F4F00"/>
      <sz val="11"/>
    </font>
    <font>
      <name val="Arial"/>
      <charset val="1"/>
      <i val="1"/>
      <color rgb="FF595959"/>
      <sz val="10"/>
    </font>
    <font>
      <name val="Arial"/>
      <charset val="1"/>
      <family val="2"/>
      <b val="1"/>
      <color rgb="FFFFFFFF"/>
      <sz val="11"/>
    </font>
    <font>
      <name val="Arial"/>
      <charset val="1"/>
      <b val="1"/>
      <color rgb="FFFFFFFF"/>
      <sz val="12"/>
    </font>
    <font>
      <name val="Arial"/>
      <charset val="1"/>
      <i val="1"/>
      <color rgb="FFFFFFFF"/>
      <sz val="10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color rgb="FFFFFFFF"/>
      <sz val="11"/>
    </font>
  </fonts>
  <fills count="8">
    <fill>
      <patternFill/>
    </fill>
    <fill>
      <patternFill patternType="gray125"/>
    </fill>
    <fill>
      <patternFill/>
    </fill>
    <fill>
      <patternFill patternType="solid">
        <fgColor rgb="FFD6E4F0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BF3FB"/>
        <b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2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bottom"/>
    </xf>
    <xf numFmtId="0" fontId="5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vertical="bottom"/>
    </xf>
    <xf numFmtId="165" fontId="1" fillId="6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vertical="bottom"/>
    </xf>
    <xf numFmtId="0" fontId="4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4" fontId="12" fillId="2" borderId="1" applyAlignment="1" pivotButton="0" quotePrefix="0" xfId="0">
      <alignment horizontal="center" vertical="center"/>
    </xf>
    <xf numFmtId="4" fontId="11" fillId="2" borderId="1" applyAlignment="1" pivotButton="0" quotePrefix="0" xfId="0">
      <alignment horizontal="center" vertical="center"/>
    </xf>
    <xf numFmtId="166" fontId="11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4" fontId="12" fillId="7" borderId="1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166" fontId="11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4" fontId="13" fillId="4" borderId="1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name val="Arial"/>
        <charset val="1"/>
        <b val="1"/>
        <color rgb="FF1E6B00"/>
        <sz val="11"/>
      </font>
      <fill>
        <patternFill>
          <bgColor rgb="FF92D050"/>
        </patternFill>
      </fill>
    </dxf>
    <dxf>
      <font>
        <name val="Arial"/>
        <charset val="1"/>
        <color rgb="FF7F4F00"/>
        <sz val="11"/>
      </font>
      <fill>
        <patternFill>
          <bgColor rgb="FFFFD966"/>
        </patternFill>
      </fill>
    </dxf>
    <dxf>
      <font>
        <name val="Arial"/>
        <charset val="1"/>
        <b val="1"/>
        <color rgb="FF1E6B00"/>
        <sz val="11"/>
      </font>
      <fill>
        <patternFill>
          <bgColor rgb="FF92D050"/>
        </patternFill>
      </fill>
    </dxf>
    <dxf>
      <font>
        <name val="Arial"/>
        <charset val="1"/>
        <color rgb="FF7F4F00"/>
        <sz val="11"/>
      </font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view="normal" zoomScale="100" zoomScaleNormal="100" workbookViewId="0">
      <selection activeCell="S34" sqref="S34"/>
    </sheetView>
  </sheetViews>
  <sheetFormatPr baseColWidth="8" defaultColWidth="8.6328125" defaultRowHeight="14.25" customHeight="1" outlineLevelRow="0"/>
  <cols>
    <col width="5" customWidth="1" style="1" min="1" max="1"/>
    <col width="26" customWidth="1" style="1" min="2" max="2"/>
    <col width="14.91" customWidth="1" style="1" min="3" max="4"/>
    <col width="12" customWidth="1" style="1" min="5" max="5"/>
    <col hidden="1" width="12" customWidth="1" style="1" min="6" max="6"/>
    <col width="20" customWidth="1" style="1" min="7" max="7"/>
    <col width="22.09" customWidth="1" style="1" min="8" max="10"/>
    <col width="16" customWidth="1" style="1" min="11" max="12"/>
    <col width="22.09" customWidth="1" style="1" min="13" max="13"/>
    <col width="22.09" customWidth="1" min="14" max="14"/>
  </cols>
  <sheetData>
    <row r="1">
      <c r="M1" s="1" t="n"/>
      <c r="N1" s="1" t="n"/>
    </row>
    <row r="2" ht="33.75" customFormat="1" customHeight="1" s="2">
      <c r="B2" s="3" t="inlineStr">
        <is>
          <t>KADAMBA LAKE VIEW APARTMENT — MAINTENANCE PAYMENT TRACKER – SEP 2026</t>
        </is>
      </c>
    </row>
    <row r="3">
      <c r="M3" s="1" t="n"/>
      <c r="N3" s="1" t="n"/>
    </row>
    <row r="4" ht="16.5" customFormat="1" customHeight="1" s="2">
      <c r="B4" s="4" t="inlineStr">
        <is>
          <t>▶  Expenses</t>
        </is>
      </c>
    </row>
    <row r="5" ht="14.25" customFormat="1" customHeight="1" s="2">
      <c r="B5" s="5" t="inlineStr">
        <is>
          <t>Description</t>
        </is>
      </c>
      <c r="C5" s="5" t="inlineStr">
        <is>
          <t>Amount (₹)</t>
        </is>
      </c>
      <c r="D5" s="5" t="inlineStr">
        <is>
          <t>Status</t>
        </is>
      </c>
      <c r="E5" s="6" t="n"/>
      <c r="F5" s="6" t="n"/>
      <c r="G5" s="5" t="inlineStr">
        <is>
          <t>Mode</t>
        </is>
      </c>
      <c r="H5" s="5" t="inlineStr">
        <is>
          <t>Paid Date</t>
        </is>
      </c>
      <c r="I5" s="6" t="n"/>
      <c r="J5" s="6" t="n"/>
      <c r="K5" s="6" t="n"/>
      <c r="L5" s="6" t="n"/>
      <c r="M5" s="6" t="n"/>
      <c r="N5" s="6" t="n"/>
    </row>
    <row r="6" ht="14.25" customFormat="1" customHeight="1" s="2">
      <c r="B6" s="7" t="inlineStr">
        <is>
          <t>Bescom - Common</t>
        </is>
      </c>
      <c r="C6" s="8" t="n"/>
      <c r="D6" s="9" t="n"/>
      <c r="E6" s="10" t="n"/>
      <c r="F6" s="10" t="n"/>
      <c r="G6" s="10" t="n"/>
      <c r="H6" s="11" t="n"/>
      <c r="I6" s="10" t="n"/>
      <c r="J6" s="10" t="n"/>
      <c r="K6" s="10" t="n"/>
      <c r="L6" s="10" t="n"/>
      <c r="M6" s="10" t="n"/>
      <c r="N6" s="10" t="n"/>
    </row>
    <row r="7" ht="14.25" customFormat="1" customHeight="1" s="2">
      <c r="B7" s="7" t="inlineStr">
        <is>
          <t>BWSBB</t>
        </is>
      </c>
      <c r="C7" s="8" t="n"/>
      <c r="D7" s="9" t="n"/>
      <c r="E7" s="10" t="n"/>
      <c r="F7" s="10" t="n"/>
      <c r="G7" s="10" t="n"/>
      <c r="H7" s="11" t="n"/>
      <c r="I7" s="10" t="n"/>
      <c r="J7" s="10" t="n"/>
      <c r="K7" s="10" t="n"/>
      <c r="L7" s="10" t="n"/>
      <c r="M7" s="10" t="n"/>
      <c r="N7" s="10" t="n"/>
    </row>
    <row r="8" ht="14.25" customFormat="1" customHeight="1" s="2">
      <c r="B8" s="7" t="inlineStr">
        <is>
          <t>Garbage</t>
        </is>
      </c>
      <c r="C8" s="8" t="n"/>
      <c r="D8" s="9" t="n"/>
      <c r="E8" s="10" t="n"/>
      <c r="F8" s="10" t="n"/>
      <c r="G8" s="10" t="n"/>
      <c r="H8" s="11" t="n"/>
      <c r="I8" s="10" t="n"/>
      <c r="J8" s="10" t="n"/>
      <c r="K8" s="10" t="n"/>
      <c r="L8" s="10" t="n"/>
      <c r="M8" s="10" t="n"/>
      <c r="N8" s="10" t="n"/>
    </row>
    <row r="9" ht="14.25" customFormat="1" customHeight="1" s="2">
      <c r="B9" s="7" t="inlineStr">
        <is>
          <t>Security</t>
        </is>
      </c>
      <c r="C9" s="8" t="n"/>
      <c r="D9" s="9" t="n"/>
      <c r="E9" s="10" t="n"/>
      <c r="F9" s="10" t="n"/>
      <c r="G9" s="10" t="n"/>
      <c r="H9" s="11" t="n"/>
      <c r="I9" s="10" t="n"/>
      <c r="J9" s="10" t="n"/>
      <c r="K9" s="10" t="n"/>
      <c r="L9" s="10" t="n"/>
      <c r="M9" s="10" t="n"/>
      <c r="N9" s="10" t="n"/>
    </row>
    <row r="10" ht="14.25" customFormat="1" customHeight="1" s="2">
      <c r="B10" s="7" t="inlineStr">
        <is>
          <t>Other</t>
        </is>
      </c>
      <c r="C10" s="8">
        <f>ROUNDUP(852.25,0)</f>
        <v/>
      </c>
      <c r="D10" s="9" t="n"/>
      <c r="E10" s="10" t="n"/>
      <c r="F10" s="10" t="n"/>
      <c r="G10" s="10" t="n"/>
      <c r="H10" s="11" t="n"/>
      <c r="I10" s="10" t="n"/>
      <c r="J10" s="10" t="n"/>
      <c r="K10" s="10" t="n"/>
      <c r="L10" s="10" t="n"/>
      <c r="M10" s="10" t="n"/>
      <c r="N10" s="10" t="n"/>
    </row>
    <row r="11" ht="14.25" customFormat="1" customHeight="1" s="2">
      <c r="B11" s="7" t="n"/>
      <c r="C11" s="8" t="n"/>
      <c r="D11" s="9" t="n"/>
      <c r="E11" s="10" t="n"/>
      <c r="F11" s="10" t="n"/>
      <c r="G11" s="10" t="n"/>
      <c r="H11" s="11" t="n"/>
      <c r="I11" s="10" t="n"/>
      <c r="J11" s="10" t="n"/>
      <c r="K11" s="10" t="n"/>
      <c r="L11" s="10" t="n"/>
      <c r="M11" s="10" t="n"/>
      <c r="N11" s="10" t="n"/>
    </row>
    <row r="12" ht="14.25" customFormat="1" customHeight="1" s="2">
      <c r="B12" s="7" t="n"/>
      <c r="C12" s="8" t="n"/>
      <c r="D12" s="9" t="n"/>
      <c r="E12" s="10" t="n"/>
      <c r="F12" s="10" t="n"/>
      <c r="G12" s="10" t="n"/>
      <c r="H12" s="11" t="n"/>
      <c r="I12" s="10" t="n"/>
      <c r="J12" s="10" t="n"/>
      <c r="K12" s="10" t="n"/>
      <c r="L12" s="10" t="n"/>
      <c r="M12" s="10" t="n"/>
      <c r="N12" s="10" t="n"/>
    </row>
    <row r="13" ht="14.25" customFormat="1" customHeight="1" s="2">
      <c r="B13" s="7" t="n"/>
      <c r="C13" s="8" t="n"/>
      <c r="D13" s="9" t="n"/>
      <c r="E13" s="10" t="n"/>
      <c r="F13" s="10" t="n"/>
      <c r="G13" s="10" t="n"/>
      <c r="H13" s="11" t="n"/>
      <c r="I13" s="10" t="n"/>
      <c r="J13" s="10" t="n"/>
      <c r="K13" s="10" t="n"/>
      <c r="L13" s="10" t="n"/>
      <c r="M13" s="10" t="n"/>
      <c r="N13" s="10" t="n"/>
    </row>
    <row r="14" ht="15" customFormat="1" customHeight="1" s="2">
      <c r="B14" s="12" t="inlineStr">
        <is>
          <t>Total</t>
        </is>
      </c>
      <c r="C14" s="13">
        <f>SUM(C6:C13)</f>
        <v/>
      </c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M15" s="1" t="n"/>
      <c r="N15" s="1" t="n"/>
    </row>
    <row r="16">
      <c r="M16" s="1" t="n"/>
      <c r="N16" s="1" t="n"/>
    </row>
    <row r="17">
      <c r="M17" s="1" t="n"/>
      <c r="N17" s="1" t="n"/>
    </row>
    <row r="18">
      <c r="M18" s="1" t="n"/>
      <c r="N18" s="1" t="n"/>
    </row>
    <row r="19" ht="48" customFormat="1" customHeight="1" s="2">
      <c r="A19" s="16" t="inlineStr">
        <is>
          <t>SL</t>
        </is>
      </c>
      <c r="B19" s="16" t="inlineStr">
        <is>
          <t>NAME</t>
        </is>
      </c>
      <c r="C19" s="16" t="inlineStr">
        <is>
          <t>Flat No</t>
        </is>
      </c>
      <c r="D19" s="16" t="inlineStr">
        <is>
          <t>APT TYPE</t>
        </is>
      </c>
      <c r="E19" s="16" t="inlineStr">
        <is>
          <t>BUA</t>
        </is>
      </c>
      <c r="F19" s="16" t="inlineStr">
        <is>
          <t>UDS</t>
        </is>
      </c>
      <c r="G19" s="16" t="inlineStr">
        <is>
          <t>Maintenance
Amount</t>
        </is>
      </c>
      <c r="H19" s="16" t="inlineStr">
        <is>
          <t>CORP FUND
=0.5 *sqft
(Round off)</t>
        </is>
      </c>
      <c r="I19" s="16" t="inlineStr">
        <is>
          <t>Actual Maint Amount
Paid</t>
        </is>
      </c>
      <c r="J19" s="16" t="inlineStr">
        <is>
          <t>Actual Corp Amount
Paid</t>
        </is>
      </c>
      <c r="K19" s="16" t="inlineStr">
        <is>
          <t>Mode</t>
        </is>
      </c>
      <c r="L19" s="16" t="inlineStr">
        <is>
          <t>Paid Date</t>
        </is>
      </c>
      <c r="M19" s="16" t="inlineStr">
        <is>
          <t>Maint. Difference
(Actual - Expected)</t>
        </is>
      </c>
      <c r="N19" s="16" t="inlineStr">
        <is>
          <t>Corp Difference
(Actual - Expected)</t>
        </is>
      </c>
    </row>
    <row r="20" ht="15" customFormat="1" customHeight="1" s="2">
      <c r="A20" s="17" t="n">
        <v>1</v>
      </c>
      <c r="B20" s="18" t="inlineStr">
        <is>
          <t>Alex Morgan</t>
        </is>
      </c>
      <c r="C20" s="17" t="inlineStr">
        <is>
          <t>101-3BHK</t>
        </is>
      </c>
      <c r="D20" s="17" t="inlineStr">
        <is>
          <t>E--3BHK+3T</t>
        </is>
      </c>
      <c r="E20" s="19" t="n">
        <v>1706.26</v>
      </c>
      <c r="F20" s="20" t="n">
        <v>557.49</v>
      </c>
      <c r="G20" s="20">
        <f>$C$14/25</f>
        <v/>
      </c>
      <c r="H20" s="17">
        <f>ROUND(0.5*E20,0)</f>
        <v/>
      </c>
      <c r="I20" s="20" t="n"/>
      <c r="J20" s="20" t="n"/>
      <c r="K20" s="17" t="n"/>
      <c r="L20" s="21" t="n"/>
      <c r="M20" s="20">
        <f>IF(G20&lt;&gt;"",ROUND(N(I20)-G20,2),"")</f>
        <v/>
      </c>
      <c r="N20" s="20">
        <f>IF(H20&lt;&gt;"",ROUND(N(J20)-H20,2),"")</f>
        <v/>
      </c>
    </row>
    <row r="21" ht="15" customFormat="1" customHeight="1" s="2">
      <c r="A21" s="22" t="n">
        <v>2</v>
      </c>
      <c r="B21" s="23" t="inlineStr">
        <is>
          <t>Jamie Taylor</t>
        </is>
      </c>
      <c r="C21" s="22" t="inlineStr">
        <is>
          <t>102-2BHK</t>
        </is>
      </c>
      <c r="D21" s="22" t="inlineStr">
        <is>
          <t>E-2BHK+ 2T</t>
        </is>
      </c>
      <c r="E21" s="24" t="n">
        <v>1202.8</v>
      </c>
      <c r="F21" s="25" t="n">
        <v>392.99</v>
      </c>
      <c r="G21" s="25">
        <f>$C$14/25</f>
        <v/>
      </c>
      <c r="H21" s="17">
        <f>ROUND(0.5*E21,0)</f>
        <v/>
      </c>
      <c r="I21" s="25" t="n"/>
      <c r="J21" s="25" t="n"/>
      <c r="K21" s="22" t="n"/>
      <c r="L21" s="26" t="n"/>
      <c r="M21" s="25">
        <f>IF(G21&lt;&gt;"",ROUND(N(I21)-G21,2),"")</f>
        <v/>
      </c>
      <c r="N21" s="25">
        <f>IF(H21&lt;&gt;"",ROUND(N(J21)-H21,2),"")</f>
        <v/>
      </c>
    </row>
    <row r="22" ht="15" customFormat="1" customHeight="1" s="2">
      <c r="A22" s="17" t="n">
        <v>3</v>
      </c>
      <c r="B22" s="18" t="inlineStr">
        <is>
          <t>Casey Jordan</t>
        </is>
      </c>
      <c r="C22" s="17" t="inlineStr">
        <is>
          <t>103-2BHK</t>
        </is>
      </c>
      <c r="D22" s="17" t="inlineStr">
        <is>
          <t>N-2BHK+ 2T</t>
        </is>
      </c>
      <c r="E22" s="19" t="n">
        <v>1195.54</v>
      </c>
      <c r="F22" s="20" t="n">
        <v>390.62</v>
      </c>
      <c r="G22" s="20">
        <f>$C$14/25</f>
        <v/>
      </c>
      <c r="H22" s="17">
        <f>ROUND(0.5*E22,0)</f>
        <v/>
      </c>
      <c r="I22" s="20" t="n"/>
      <c r="J22" s="20" t="n"/>
      <c r="K22" s="17" t="n"/>
      <c r="L22" s="21" t="n"/>
      <c r="M22" s="20">
        <f>IF(G22&lt;&gt;"",ROUND(N(I22)-G22,2),"")</f>
        <v/>
      </c>
      <c r="N22" s="20">
        <f>IF(H22&lt;&gt;"",ROUND(N(J22)-H22,2),"")</f>
        <v/>
      </c>
    </row>
    <row r="23" ht="15" customFormat="1" customHeight="1" s="2">
      <c r="A23" s="22" t="n">
        <v>4</v>
      </c>
      <c r="B23" s="23" t="inlineStr">
        <is>
          <t>Riley Parker</t>
        </is>
      </c>
      <c r="C23" s="22" t="inlineStr">
        <is>
          <t>104-2BHK</t>
        </is>
      </c>
      <c r="D23" s="22" t="inlineStr">
        <is>
          <t>E-2BHK+ 2T</t>
        </is>
      </c>
      <c r="E23" s="24" t="n">
        <v>1205.7</v>
      </c>
      <c r="F23" s="25" t="n">
        <v>393.94</v>
      </c>
      <c r="G23" s="25">
        <f>$C$14/25</f>
        <v/>
      </c>
      <c r="H23" s="17">
        <f>ROUND(0.5*E23,0)</f>
        <v/>
      </c>
      <c r="I23" s="25" t="n"/>
      <c r="J23" s="25" t="n"/>
      <c r="K23" s="22" t="n"/>
      <c r="L23" s="26" t="n"/>
      <c r="M23" s="25">
        <f>IF(G23&lt;&gt;"",ROUND(N(I23)-G23,2),"")</f>
        <v/>
      </c>
      <c r="N23" s="25">
        <f>IF(H23&lt;&gt;"",ROUND(N(J23)-H23,2),"")</f>
        <v/>
      </c>
    </row>
    <row r="24" ht="15" customFormat="1" customHeight="1" s="2">
      <c r="A24" s="17" t="n">
        <v>5</v>
      </c>
      <c r="B24" s="18" t="inlineStr">
        <is>
          <t>Avery Reed</t>
        </is>
      </c>
      <c r="C24" s="17" t="inlineStr">
        <is>
          <t>105-3BHK</t>
        </is>
      </c>
      <c r="D24" s="17" t="inlineStr">
        <is>
          <t>N--3BHK+3T</t>
        </is>
      </c>
      <c r="E24" s="19" t="n">
        <v>1651.12</v>
      </c>
      <c r="F24" s="20" t="n">
        <v>539.48</v>
      </c>
      <c r="G24" s="20">
        <f>$C$14/25</f>
        <v/>
      </c>
      <c r="H24" s="17">
        <f>ROUND(0.5*E24,0)</f>
        <v/>
      </c>
      <c r="I24" s="20" t="n"/>
      <c r="J24" s="20" t="n"/>
      <c r="K24" s="17" t="n"/>
      <c r="L24" s="21" t="n"/>
      <c r="M24" s="20">
        <f>IF(G24&lt;&gt;"",ROUND(N(I24)-G24,2),"")</f>
        <v/>
      </c>
      <c r="N24" s="20">
        <f>IF(H24&lt;&gt;"",ROUND(N(J24)-H24,2),"")</f>
        <v/>
      </c>
    </row>
    <row r="25" ht="15" customFormat="1" customHeight="1" s="2">
      <c r="A25" s="22" t="n">
        <v>6</v>
      </c>
      <c r="B25" s="23" t="inlineStr">
        <is>
          <t>Drew Ellis</t>
        </is>
      </c>
      <c r="C25" s="22" t="inlineStr">
        <is>
          <t>106-2BHK</t>
        </is>
      </c>
      <c r="D25" s="22" t="inlineStr">
        <is>
          <t>W-2BHK+ 3T</t>
        </is>
      </c>
      <c r="E25" s="24" t="n">
        <v>1217.31</v>
      </c>
      <c r="F25" s="25" t="n">
        <v>397.73</v>
      </c>
      <c r="G25" s="25">
        <f>$C$14/25</f>
        <v/>
      </c>
      <c r="H25" s="17">
        <f>ROUND(0.5*E25,0)</f>
        <v/>
      </c>
      <c r="I25" s="25" t="n"/>
      <c r="J25" s="25" t="n"/>
      <c r="K25" s="22" t="n"/>
      <c r="L25" s="26" t="n"/>
      <c r="M25" s="25">
        <f>IF(G25&lt;&gt;"",ROUND(N(I25)-G25,2),"")</f>
        <v/>
      </c>
      <c r="N25" s="25">
        <f>IF(H25&lt;&gt;"",ROUND(N(J25)-H25,2),"")</f>
        <v/>
      </c>
    </row>
    <row r="26" ht="15" customFormat="1" customHeight="1" s="2">
      <c r="A26" s="17" t="n">
        <v>7</v>
      </c>
      <c r="B26" s="18" t="inlineStr">
        <is>
          <t>Taylor Quinn</t>
        </is>
      </c>
      <c r="C26" s="17" t="inlineStr">
        <is>
          <t>107-3BHK</t>
        </is>
      </c>
      <c r="D26" s="17" t="inlineStr">
        <is>
          <t>W--3BHK+3T</t>
        </is>
      </c>
      <c r="E26" s="19" t="n">
        <v>1764.29</v>
      </c>
      <c r="F26" s="20" t="n">
        <v>576.45</v>
      </c>
      <c r="G26" s="20">
        <f>$C$14/25</f>
        <v/>
      </c>
      <c r="H26" s="17">
        <f>ROUND(0.5*E26,0)</f>
        <v/>
      </c>
      <c r="I26" s="20" t="n"/>
      <c r="J26" s="20" t="n"/>
      <c r="K26" s="17" t="n"/>
      <c r="L26" s="21" t="n"/>
      <c r="M26" s="20">
        <f>IF(G26&lt;&gt;"",ROUND(N(I26)-G26,2),"")</f>
        <v/>
      </c>
      <c r="N26" s="20">
        <f>IF(H26&lt;&gt;"",ROUND(N(J26)-H26,2),"")</f>
        <v/>
      </c>
    </row>
    <row r="27" ht="15" customFormat="1" customHeight="1" s="2">
      <c r="A27" s="22" t="n">
        <v>8</v>
      </c>
      <c r="B27" s="23" t="inlineStr">
        <is>
          <t>Morgan Lane</t>
        </is>
      </c>
      <c r="C27" s="22" t="inlineStr">
        <is>
          <t>201-3BHK</t>
        </is>
      </c>
      <c r="D27" s="22" t="inlineStr">
        <is>
          <t>E--3BHK+3T</t>
        </is>
      </c>
      <c r="E27" s="24" t="n">
        <v>1706.26</v>
      </c>
      <c r="F27" s="25" t="n">
        <v>557.49</v>
      </c>
      <c r="G27" s="25">
        <f>$C$14/25</f>
        <v/>
      </c>
      <c r="H27" s="17">
        <f>ROUND(0.5*E27,0)</f>
        <v/>
      </c>
      <c r="I27" s="25" t="n"/>
      <c r="J27" s="25" t="n"/>
      <c r="K27" s="22" t="n"/>
      <c r="L27" s="26" t="n"/>
      <c r="M27" s="25">
        <f>IF(G27&lt;&gt;"",ROUND(N(I27)-G27,2),"")</f>
        <v/>
      </c>
      <c r="N27" s="25">
        <f>IF(H27&lt;&gt;"",ROUND(N(J27)-H27,2),"")</f>
        <v/>
      </c>
    </row>
    <row r="28" ht="15" customFormat="1" customHeight="1" s="2">
      <c r="A28" s="17" t="n">
        <v>9</v>
      </c>
      <c r="B28" s="18" t="inlineStr">
        <is>
          <t>Cameron Blake</t>
        </is>
      </c>
      <c r="C28" s="17" t="inlineStr">
        <is>
          <t>202-2BHK</t>
        </is>
      </c>
      <c r="D28" s="17" t="inlineStr">
        <is>
          <t>E-2BHK+ 2T</t>
        </is>
      </c>
      <c r="E28" s="19" t="n">
        <v>1202.8</v>
      </c>
      <c r="F28" s="20" t="n">
        <v>392.99</v>
      </c>
      <c r="G28" s="20">
        <f>$C$14/25</f>
        <v/>
      </c>
      <c r="H28" s="17">
        <f>ROUND(0.5*E28,0)</f>
        <v/>
      </c>
      <c r="I28" s="20" t="n"/>
      <c r="J28" s="20" t="n"/>
      <c r="K28" s="17" t="n"/>
      <c r="L28" s="21" t="n"/>
      <c r="M28" s="20">
        <f>IF(G28&lt;&gt;"",ROUND(N(I28)-G28,2),"")</f>
        <v/>
      </c>
      <c r="N28" s="20">
        <f>IF(H28&lt;&gt;"",ROUND(N(J28)-H28,2),"")</f>
        <v/>
      </c>
    </row>
    <row r="29" ht="15" customFormat="1" customHeight="1" s="2">
      <c r="A29" s="22" t="n">
        <v>10</v>
      </c>
      <c r="B29" s="23" t="inlineStr">
        <is>
          <t>Jordan Avery</t>
        </is>
      </c>
      <c r="C29" s="22" t="inlineStr">
        <is>
          <t>203-2BHK</t>
        </is>
      </c>
      <c r="D29" s="22" t="inlineStr">
        <is>
          <t>N-2BHK+ 2T</t>
        </is>
      </c>
      <c r="E29" s="24" t="n">
        <v>1195.54</v>
      </c>
      <c r="F29" s="25" t="n">
        <v>390.62</v>
      </c>
      <c r="G29" s="25">
        <f>$C$14/25</f>
        <v/>
      </c>
      <c r="H29" s="17">
        <f>ROUND(0.5*E29,0)</f>
        <v/>
      </c>
      <c r="I29" s="25" t="n"/>
      <c r="J29" s="25" t="n"/>
      <c r="K29" s="22" t="n"/>
      <c r="L29" s="26" t="n"/>
      <c r="M29" s="25">
        <f>IF(G29&lt;&gt;"",ROUND(N(I29)-G29,2),"")</f>
        <v/>
      </c>
      <c r="N29" s="25">
        <f>IF(H29&lt;&gt;"",ROUND(N(J29)-H29,2),"")</f>
        <v/>
      </c>
    </row>
    <row r="30" ht="15" customFormat="1" customHeight="1" s="2">
      <c r="A30" s="17" t="n">
        <v>11</v>
      </c>
      <c r="B30" s="18" t="inlineStr">
        <is>
          <t>Sam Rowan</t>
        </is>
      </c>
      <c r="C30" s="17" t="inlineStr">
        <is>
          <t>204-2BHK</t>
        </is>
      </c>
      <c r="D30" s="17" t="inlineStr">
        <is>
          <t>E-2BHK+ 2T</t>
        </is>
      </c>
      <c r="E30" s="19" t="n">
        <v>1205.7</v>
      </c>
      <c r="F30" s="20" t="n">
        <v>393.94</v>
      </c>
      <c r="G30" s="20">
        <f>$C$14/25</f>
        <v/>
      </c>
      <c r="H30" s="17">
        <f>ROUND(0.5*E30,0)</f>
        <v/>
      </c>
      <c r="I30" s="20" t="n"/>
      <c r="J30" s="20" t="n"/>
      <c r="K30" s="17" t="n"/>
      <c r="L30" s="21" t="n"/>
      <c r="M30" s="20">
        <f>IF(G30&lt;&gt;"",ROUND(N(I30)-G30,2),"")</f>
        <v/>
      </c>
      <c r="N30" s="20">
        <f>IF(H30&lt;&gt;"",ROUND(N(J30)-H30,2),"")</f>
        <v/>
      </c>
    </row>
    <row r="31" ht="15" customFormat="1" customHeight="1" s="2">
      <c r="A31" s="22" t="n">
        <v>12</v>
      </c>
      <c r="B31" s="23" t="inlineStr">
        <is>
          <t>Robin Ellis</t>
        </is>
      </c>
      <c r="C31" s="22" t="inlineStr">
        <is>
          <t>205-3BHK</t>
        </is>
      </c>
      <c r="D31" s="22" t="inlineStr">
        <is>
          <t>N--3BHK+3T</t>
        </is>
      </c>
      <c r="E31" s="24" t="n">
        <v>1651.12</v>
      </c>
      <c r="F31" s="25" t="n">
        <v>539.48</v>
      </c>
      <c r="G31" s="25">
        <f>$C$14/25</f>
        <v/>
      </c>
      <c r="H31" s="17">
        <f>ROUND(0.5*E31,0)</f>
        <v/>
      </c>
      <c r="I31" s="25" t="n"/>
      <c r="J31" s="25" t="n"/>
      <c r="K31" s="22" t="n"/>
      <c r="L31" s="26" t="n"/>
      <c r="M31" s="25">
        <f>IF(G31&lt;&gt;"",ROUND(N(I31)-G31,2),"")</f>
        <v/>
      </c>
      <c r="N31" s="25">
        <f>IF(H31&lt;&gt;"",ROUND(N(J31)-H31,2),"")</f>
        <v/>
      </c>
    </row>
    <row r="32" ht="15" customFormat="1" customHeight="1" s="2">
      <c r="A32" s="17" t="n">
        <v>13</v>
      </c>
      <c r="B32" s="18" t="inlineStr">
        <is>
          <t>Skyler Brooks</t>
        </is>
      </c>
      <c r="C32" s="17" t="inlineStr">
        <is>
          <t>206-2BHK</t>
        </is>
      </c>
      <c r="D32" s="17" t="inlineStr">
        <is>
          <t>W-2BHK+ 3T</t>
        </is>
      </c>
      <c r="E32" s="19" t="n">
        <v>1217.31</v>
      </c>
      <c r="F32" s="20" t="n">
        <v>397.73</v>
      </c>
      <c r="G32" s="20">
        <f>$C$14/25</f>
        <v/>
      </c>
      <c r="H32" s="17">
        <f>ROUND(0.5*E32,0)</f>
        <v/>
      </c>
      <c r="I32" s="20" t="n"/>
      <c r="J32" s="20" t="n"/>
      <c r="K32" s="17" t="n"/>
      <c r="L32" s="21" t="n"/>
      <c r="M32" s="20">
        <f>IF(G32&lt;&gt;"",ROUND(N(I32)-G32,2),"")</f>
        <v/>
      </c>
      <c r="N32" s="20">
        <f>IF(H32&lt;&gt;"",ROUND(N(J32)-H32,2),"")</f>
        <v/>
      </c>
    </row>
    <row r="33" ht="15" customFormat="1" customHeight="1" s="2">
      <c r="A33" s="22" t="n">
        <v>14</v>
      </c>
      <c r="B33" s="23" t="inlineStr">
        <is>
          <t>Emerson Gray</t>
        </is>
      </c>
      <c r="C33" s="22" t="inlineStr">
        <is>
          <t>207-3BHK</t>
        </is>
      </c>
      <c r="D33" s="22" t="inlineStr">
        <is>
          <t>W--3BHK+3T</t>
        </is>
      </c>
      <c r="E33" s="24" t="n">
        <v>1764.29</v>
      </c>
      <c r="F33" s="25" t="n">
        <v>576.45</v>
      </c>
      <c r="G33" s="25">
        <f>$C$14/25</f>
        <v/>
      </c>
      <c r="H33" s="17">
        <f>ROUND(0.5*E33,0)</f>
        <v/>
      </c>
      <c r="I33" s="25" t="n"/>
      <c r="J33" s="25" t="n"/>
      <c r="K33" s="22" t="n"/>
      <c r="L33" s="26" t="n"/>
      <c r="M33" s="25">
        <f>IF(G33&lt;&gt;"",ROUND(N(I33)-G33,2),"")</f>
        <v/>
      </c>
      <c r="N33" s="25">
        <f>IF(H33&lt;&gt;"",ROUND(N(J33)-H33,2),"")</f>
        <v/>
      </c>
    </row>
    <row r="34" ht="15" customFormat="1" customHeight="1" s="2">
      <c r="A34" s="17" t="n">
        <v>15</v>
      </c>
      <c r="B34" s="18" t="inlineStr">
        <is>
          <t>Harper Lee</t>
        </is>
      </c>
      <c r="C34" s="17" t="inlineStr">
        <is>
          <t>301-3BHK</t>
        </is>
      </c>
      <c r="D34" s="17" t="inlineStr">
        <is>
          <t>E--3BHK+3T</t>
        </is>
      </c>
      <c r="E34" s="19" t="n">
        <v>1706.26</v>
      </c>
      <c r="F34" s="20" t="n">
        <v>557.49</v>
      </c>
      <c r="G34" s="20">
        <f>$C$14/25</f>
        <v/>
      </c>
      <c r="H34" s="17">
        <f>ROUND(0.5*E34,0)</f>
        <v/>
      </c>
      <c r="I34" s="20" t="n"/>
      <c r="J34" s="20" t="n"/>
      <c r="K34" s="17" t="n"/>
      <c r="L34" s="21" t="n"/>
      <c r="M34" s="20">
        <f>IF(G34&lt;&gt;"",ROUND(N(I34)-G34,2),"")</f>
        <v/>
      </c>
      <c r="N34" s="20">
        <f>IF(H34&lt;&gt;"",ROUND(N(J34)-H34,2),"")</f>
        <v/>
      </c>
    </row>
    <row r="35" ht="15" customFormat="1" customHeight="1" s="2">
      <c r="A35" s="22" t="n">
        <v>16</v>
      </c>
      <c r="B35" s="23" t="inlineStr">
        <is>
          <t>Parker Ellis</t>
        </is>
      </c>
      <c r="C35" s="22" t="inlineStr">
        <is>
          <t>302-2BHK</t>
        </is>
      </c>
      <c r="D35" s="22" t="inlineStr">
        <is>
          <t>E-2BHK+ 2T</t>
        </is>
      </c>
      <c r="E35" s="24" t="n">
        <v>1202.8</v>
      </c>
      <c r="F35" s="25" t="n">
        <v>392.99</v>
      </c>
      <c r="G35" s="25">
        <f>$C$14/25</f>
        <v/>
      </c>
      <c r="H35" s="17">
        <f>ROUND(0.5*E35,0)</f>
        <v/>
      </c>
      <c r="I35" s="25" t="n"/>
      <c r="J35" s="25" t="n"/>
      <c r="K35" s="22" t="n"/>
      <c r="L35" s="26" t="n"/>
      <c r="M35" s="25">
        <f>IF(G35&lt;&gt;"",ROUND(N(I35)-G35,2),"")</f>
        <v/>
      </c>
      <c r="N35" s="25">
        <f>IF(H35&lt;&gt;"",ROUND(N(J35)-H35,2),"")</f>
        <v/>
      </c>
    </row>
    <row r="36" ht="15" customFormat="1" customHeight="1" s="2">
      <c r="A36" s="17" t="n">
        <v>17</v>
      </c>
      <c r="B36" s="18" t="inlineStr">
        <is>
          <t>Reese Campbell</t>
        </is>
      </c>
      <c r="C36" s="17" t="inlineStr">
        <is>
          <t>303-2BHK</t>
        </is>
      </c>
      <c r="D36" s="17" t="inlineStr">
        <is>
          <t>N-2BHK+ 2T</t>
        </is>
      </c>
      <c r="E36" s="19" t="n">
        <v>1195.54</v>
      </c>
      <c r="F36" s="20" t="n">
        <v>390.62</v>
      </c>
      <c r="G36" s="20">
        <f>$C$14/25</f>
        <v/>
      </c>
      <c r="H36" s="17">
        <f>ROUND(0.5*E36,0)</f>
        <v/>
      </c>
      <c r="I36" s="20" t="n"/>
      <c r="J36" s="20" t="n"/>
      <c r="K36" s="17" t="n"/>
      <c r="L36" s="21" t="n"/>
      <c r="M36" s="20">
        <f>IF(G36&lt;&gt;"",ROUND(N(I36)-G36,2),"")</f>
        <v/>
      </c>
      <c r="N36" s="20">
        <f>IF(H36&lt;&gt;"",ROUND(N(J36)-H36,2),"")</f>
        <v/>
      </c>
    </row>
    <row r="37" ht="15" customFormat="1" customHeight="1" s="2">
      <c r="A37" s="22" t="n">
        <v>18</v>
      </c>
      <c r="B37" s="23" t="inlineStr">
        <is>
          <t>Finley Morgan</t>
        </is>
      </c>
      <c r="C37" s="22" t="inlineStr">
        <is>
          <t>304-2BHK</t>
        </is>
      </c>
      <c r="D37" s="22" t="inlineStr">
        <is>
          <t>E-2BHK+ 2T</t>
        </is>
      </c>
      <c r="E37" s="24" t="n">
        <v>1205.7</v>
      </c>
      <c r="F37" s="25" t="n">
        <v>393.94</v>
      </c>
      <c r="G37" s="25">
        <f>$C$14/25</f>
        <v/>
      </c>
      <c r="H37" s="17">
        <f>ROUND(0.5*E37,0)</f>
        <v/>
      </c>
      <c r="I37" s="25" t="n"/>
      <c r="J37" s="25" t="n"/>
      <c r="K37" s="22" t="n"/>
      <c r="L37" s="26" t="n"/>
      <c r="M37" s="25">
        <f>IF(G37&lt;&gt;"",ROUND(N(I37)-G37,2),"")</f>
        <v/>
      </c>
      <c r="N37" s="25">
        <f>IF(H37&lt;&gt;"",ROUND(N(J37)-H37,2),"")</f>
        <v/>
      </c>
    </row>
    <row r="38" ht="15" customFormat="1" customHeight="1" s="2">
      <c r="A38" s="17" t="n">
        <v>19</v>
      </c>
      <c r="B38" s="18" t="inlineStr">
        <is>
          <t>Dakota James</t>
        </is>
      </c>
      <c r="C38" s="17" t="inlineStr">
        <is>
          <t>305-3BHK</t>
        </is>
      </c>
      <c r="D38" s="17" t="inlineStr">
        <is>
          <t>N--3BHK+3T</t>
        </is>
      </c>
      <c r="E38" s="19" t="n">
        <v>1651.12</v>
      </c>
      <c r="F38" s="20" t="n">
        <v>539.48</v>
      </c>
      <c r="G38" s="20">
        <f>$C$14/25</f>
        <v/>
      </c>
      <c r="H38" s="17">
        <f>ROUND(0.5*E38,0)</f>
        <v/>
      </c>
      <c r="I38" s="20" t="n"/>
      <c r="J38" s="20" t="n"/>
      <c r="K38" s="17" t="n"/>
      <c r="L38" s="21" t="n"/>
      <c r="M38" s="20">
        <f>IF(G38&lt;&gt;"",ROUND(N(I38)-G38,2),"")</f>
        <v/>
      </c>
      <c r="N38" s="20">
        <f>IF(H38&lt;&gt;"",ROUND(N(J38)-H38,2),"")</f>
        <v/>
      </c>
    </row>
    <row r="39" ht="15" customFormat="1" customHeight="1" s="2">
      <c r="A39" s="22" t="n">
        <v>20</v>
      </c>
      <c r="B39" s="23" t="inlineStr">
        <is>
          <t>Charlie Avery</t>
        </is>
      </c>
      <c r="C39" s="22" t="inlineStr">
        <is>
          <t>306-2BHK</t>
        </is>
      </c>
      <c r="D39" s="22" t="inlineStr">
        <is>
          <t>W-2BHK+ 3T</t>
        </is>
      </c>
      <c r="E39" s="24" t="n">
        <v>1217.31</v>
      </c>
      <c r="F39" s="25" t="n">
        <v>397.73</v>
      </c>
      <c r="G39" s="25">
        <f>$C$14/25</f>
        <v/>
      </c>
      <c r="H39" s="17">
        <f>ROUND(0.5*E39,0)</f>
        <v/>
      </c>
      <c r="I39" s="25" t="n"/>
      <c r="J39" s="25" t="n"/>
      <c r="K39" s="22" t="n"/>
      <c r="L39" s="26" t="n"/>
      <c r="M39" s="25">
        <f>IF(G39&lt;&gt;"",ROUND(N(I39)-G39,2),"")</f>
        <v/>
      </c>
      <c r="N39" s="25">
        <f>IF(H39&lt;&gt;"",ROUND(N(J39)-H39,2),"")</f>
        <v/>
      </c>
    </row>
    <row r="40" ht="15" customFormat="1" customHeight="1" s="2">
      <c r="A40" s="17" t="n">
        <v>21</v>
      </c>
      <c r="B40" s="18" t="inlineStr">
        <is>
          <t>Rowan Taylor</t>
        </is>
      </c>
      <c r="C40" s="17" t="inlineStr">
        <is>
          <t>307-3BHK</t>
        </is>
      </c>
      <c r="D40" s="17" t="inlineStr">
        <is>
          <t>W--3BHK+3T</t>
        </is>
      </c>
      <c r="E40" s="19" t="n">
        <v>1764.29</v>
      </c>
      <c r="F40" s="20" t="n">
        <v>576.45</v>
      </c>
      <c r="G40" s="20">
        <f>$C$14/25</f>
        <v/>
      </c>
      <c r="H40" s="17">
        <f>ROUND(0.5*E40,0)</f>
        <v/>
      </c>
      <c r="I40" s="20" t="n"/>
      <c r="J40" s="20" t="n"/>
      <c r="K40" s="17" t="n"/>
      <c r="L40" s="21" t="n"/>
      <c r="M40" s="20">
        <f>IF(G40&lt;&gt;"",ROUND(N(I40)-G40,2),"")</f>
        <v/>
      </c>
      <c r="N40" s="20">
        <f>IF(H40&lt;&gt;"",ROUND(N(J40)-H40,2),"")</f>
        <v/>
      </c>
    </row>
    <row r="41" ht="15" customFormat="1" customHeight="1" s="2">
      <c r="A41" s="22" t="n">
        <v>22</v>
      </c>
      <c r="B41" s="23" t="inlineStr">
        <is>
          <t>Payton Reed</t>
        </is>
      </c>
      <c r="C41" s="22" t="inlineStr">
        <is>
          <t>G01-3BHK</t>
        </is>
      </c>
      <c r="D41" s="22" t="inlineStr">
        <is>
          <t>E--3BHK+3T</t>
        </is>
      </c>
      <c r="E41" s="24" t="n">
        <v>1638.07</v>
      </c>
      <c r="F41" s="25" t="n">
        <v>535.21</v>
      </c>
      <c r="G41" s="25">
        <f>$C$14/25</f>
        <v/>
      </c>
      <c r="H41" s="17">
        <f>ROUND(0.5*E41,0)</f>
        <v/>
      </c>
      <c r="I41" s="25" t="n"/>
      <c r="J41" s="25" t="n"/>
      <c r="K41" s="22" t="n"/>
      <c r="L41" s="26" t="n"/>
      <c r="M41" s="25">
        <f>IF(G41&lt;&gt;"",ROUND(N(I41)-G41,2),"")</f>
        <v/>
      </c>
      <c r="N41" s="25">
        <f>IF(H41&lt;&gt;"",ROUND(N(J41)-H41,2),"")</f>
        <v/>
      </c>
    </row>
    <row r="42" ht="15" customFormat="1" customHeight="1" s="2">
      <c r="A42" s="17" t="n">
        <v>23</v>
      </c>
      <c r="B42" s="18" t="inlineStr">
        <is>
          <t>Kendall Blake</t>
        </is>
      </c>
      <c r="C42" s="17" t="inlineStr">
        <is>
          <t>G02-2BHK</t>
        </is>
      </c>
      <c r="D42" s="17" t="inlineStr">
        <is>
          <t>E--2BHK+2T</t>
        </is>
      </c>
      <c r="E42" s="19" t="n">
        <v>1147.66</v>
      </c>
      <c r="F42" s="20" t="n">
        <v>374.98</v>
      </c>
      <c r="G42" s="20">
        <f>$C$14/25</f>
        <v/>
      </c>
      <c r="H42" s="17">
        <f>ROUND(0.5*E42,0)</f>
        <v/>
      </c>
      <c r="I42" s="20" t="n"/>
      <c r="J42" s="20" t="n"/>
      <c r="K42" s="17" t="n"/>
      <c r="L42" s="21" t="n"/>
      <c r="M42" s="20">
        <f>IF(G42&lt;&gt;"",ROUND(N(I42)-G42,2),"")</f>
        <v/>
      </c>
      <c r="N42" s="20">
        <f>IF(H42&lt;&gt;"",ROUND(N(J42)-H42,2),"")</f>
        <v/>
      </c>
    </row>
    <row r="43" ht="15" customFormat="1" customHeight="1" s="2">
      <c r="A43" s="22" t="n">
        <v>24</v>
      </c>
      <c r="B43" s="23" t="inlineStr">
        <is>
          <t>Sage Parker</t>
        </is>
      </c>
      <c r="C43" s="22" t="inlineStr">
        <is>
          <t>G03-2BHK</t>
        </is>
      </c>
      <c r="D43" s="22" t="inlineStr">
        <is>
          <t>N--2BHK+2T</t>
        </is>
      </c>
      <c r="E43" s="24" t="n">
        <v>1123</v>
      </c>
      <c r="F43" s="25" t="n">
        <v>366.92</v>
      </c>
      <c r="G43" s="25">
        <f>$C$14/25</f>
        <v/>
      </c>
      <c r="H43" s="17">
        <f>ROUND(0.5*E43,0)</f>
        <v/>
      </c>
      <c r="I43" s="25" t="n"/>
      <c r="J43" s="25" t="n"/>
      <c r="K43" s="22" t="n"/>
      <c r="L43" s="26" t="n"/>
      <c r="M43" s="25">
        <f>IF(G43&lt;&gt;"",ROUND(N(I43)-G43,2),"")</f>
        <v/>
      </c>
      <c r="N43" s="25">
        <f>IF(H43&lt;&gt;"",ROUND(N(J43)-H43,2),"")</f>
        <v/>
      </c>
    </row>
    <row r="44" ht="15" customFormat="1" customHeight="1" s="2">
      <c r="A44" s="17" t="n">
        <v>25</v>
      </c>
      <c r="B44" s="18" t="inlineStr">
        <is>
          <t>River Quinn</t>
        </is>
      </c>
      <c r="C44" s="17" t="inlineStr">
        <is>
          <t>G04-2BHK</t>
        </is>
      </c>
      <c r="D44" s="17" t="inlineStr">
        <is>
          <t>E--2BHK+2T</t>
        </is>
      </c>
      <c r="E44" s="19" t="n">
        <v>1124.45</v>
      </c>
      <c r="F44" s="20" t="n">
        <v>367.39</v>
      </c>
      <c r="G44" s="20">
        <f>$C$14/25</f>
        <v/>
      </c>
      <c r="H44" s="17">
        <f>ROUND(0.5*E44,0)</f>
        <v/>
      </c>
      <c r="I44" s="20" t="n"/>
      <c r="J44" s="20" t="n"/>
      <c r="K44" s="17" t="n"/>
      <c r="L44" s="21" t="n"/>
      <c r="M44" s="20">
        <f>IF(G44&lt;&gt;"",ROUND(N(I44)-G44,2),"")</f>
        <v/>
      </c>
      <c r="N44" s="20">
        <f>IF(H44&lt;&gt;"",ROUND(N(J44)-H44,2),"")</f>
        <v/>
      </c>
    </row>
    <row r="45" ht="15" customFormat="1" customHeight="1" s="2">
      <c r="A45" s="22" t="n">
        <v>26</v>
      </c>
      <c r="B45" s="23" t="inlineStr">
        <is>
          <t>Phoenix Lane</t>
        </is>
      </c>
      <c r="C45" s="22" t="inlineStr">
        <is>
          <t>G05-3BHK</t>
        </is>
      </c>
      <c r="D45" s="22" t="inlineStr">
        <is>
          <t>N--3BHK+3T</t>
        </is>
      </c>
      <c r="E45" s="24" t="n">
        <v>1584.38</v>
      </c>
      <c r="F45" s="25" t="n">
        <v>517.67</v>
      </c>
      <c r="G45" s="25">
        <f>$C$14/25</f>
        <v/>
      </c>
      <c r="H45" s="17">
        <f>ROUND(0.5*E45,0)</f>
        <v/>
      </c>
      <c r="I45" s="25" t="n"/>
      <c r="J45" s="25" t="n"/>
      <c r="K45" s="22" t="n"/>
      <c r="L45" s="26" t="n"/>
      <c r="M45" s="25">
        <f>IF(G45&lt;&gt;"",ROUND(N(I45)-G45,2),"")</f>
        <v/>
      </c>
      <c r="N45" s="25">
        <f>IF(H45&lt;&gt;"",ROUND(N(J45)-H45,2),"")</f>
        <v/>
      </c>
    </row>
    <row r="46" ht="15" customFormat="1" customHeight="1" s="2">
      <c r="A46" s="17" t="n">
        <v>27</v>
      </c>
      <c r="B46" s="18" t="inlineStr">
        <is>
          <t>Arden Brooks</t>
        </is>
      </c>
      <c r="C46" s="17" t="inlineStr">
        <is>
          <t>G06-2BHK</t>
        </is>
      </c>
      <c r="D46" s="17" t="inlineStr">
        <is>
          <t>W-2BHK+ 3T</t>
        </is>
      </c>
      <c r="E46" s="19" t="n">
        <v>1104.13</v>
      </c>
      <c r="F46" s="20" t="n">
        <v>360.76</v>
      </c>
      <c r="G46" s="20">
        <f>$C$14/25</f>
        <v/>
      </c>
      <c r="H46" s="17">
        <f>ROUND(0.5*E46,0)</f>
        <v/>
      </c>
      <c r="I46" s="20" t="n"/>
      <c r="J46" s="20" t="n"/>
      <c r="K46" s="17" t="n"/>
      <c r="L46" s="21" t="n"/>
      <c r="M46" s="20">
        <f>IF(G46&lt;&gt;"",ROUND(N(I46)-G46,2),"")</f>
        <v/>
      </c>
      <c r="N46" s="20">
        <f>IF(H46&lt;&gt;"",ROUND(N(J46)-H46,2),"")</f>
        <v/>
      </c>
    </row>
    <row r="47" ht="15" customFormat="1" customHeight="1" s="2">
      <c r="A47" s="22" t="n">
        <v>28</v>
      </c>
      <c r="B47" s="23" t="inlineStr">
        <is>
          <t>Shiloh Gray</t>
        </is>
      </c>
      <c r="C47" s="22" t="inlineStr">
        <is>
          <t>G07-3BHK</t>
        </is>
      </c>
      <c r="D47" s="22" t="inlineStr">
        <is>
          <t>W--3BHK+3T</t>
        </is>
      </c>
      <c r="E47" s="24" t="n">
        <v>1625.01</v>
      </c>
      <c r="F47" s="25" t="n">
        <v>530.9400000000001</v>
      </c>
      <c r="G47" s="25">
        <f>$C$14/25</f>
        <v/>
      </c>
      <c r="H47" s="17">
        <f>ROUND(0.5*E47,0)</f>
        <v/>
      </c>
      <c r="I47" s="25" t="n"/>
      <c r="J47" s="25" t="n"/>
      <c r="K47" s="22" t="n"/>
      <c r="L47" s="26" t="n"/>
      <c r="M47" s="25">
        <f>IF(G47&lt;&gt;"",ROUND(N(I47)-G47,2),"")</f>
        <v/>
      </c>
      <c r="N47" s="25">
        <f>IF(H47&lt;&gt;"",ROUND(N(J47)-H47,2),"")</f>
        <v/>
      </c>
    </row>
    <row r="48" ht="15" customFormat="1" customHeight="1" s="2">
      <c r="A48" s="17" t="n">
        <v>29</v>
      </c>
      <c r="B48" s="18" t="n"/>
      <c r="C48" s="17" t="inlineStr">
        <is>
          <t>GYM</t>
        </is>
      </c>
      <c r="D48" s="17" t="n"/>
      <c r="E48" s="17" t="n"/>
      <c r="F48" s="17" t="n"/>
      <c r="G48" s="17" t="n"/>
      <c r="H48" s="17" t="n"/>
      <c r="I48" s="20" t="n"/>
      <c r="J48" s="20" t="n"/>
      <c r="K48" s="17" t="n"/>
      <c r="L48" s="21" t="n"/>
      <c r="M48" s="17">
        <f>IF(G48&lt;&gt;"",ROUND(N(I48)-G48,2),"")</f>
        <v/>
      </c>
      <c r="N48" s="17">
        <f>IF(H48&lt;&gt;"",ROUND(N(J48)-H48,2),"")</f>
        <v/>
      </c>
    </row>
    <row r="49" ht="15" customFormat="1" customHeight="1" s="2">
      <c r="A49" s="22" t="n">
        <v>30</v>
      </c>
      <c r="B49" s="23" t="n"/>
      <c r="C49" s="22" t="inlineStr">
        <is>
          <t>Parking,Motor &amp; Lift</t>
        </is>
      </c>
      <c r="D49" s="22" t="n"/>
      <c r="E49" s="22" t="n"/>
      <c r="F49" s="22" t="n"/>
      <c r="G49" s="22" t="n"/>
      <c r="H49" s="22" t="n"/>
      <c r="I49" s="25" t="n"/>
      <c r="J49" s="25" t="n"/>
      <c r="K49" s="22" t="n"/>
      <c r="L49" s="26" t="n"/>
      <c r="M49" s="22">
        <f>IF(G49&lt;&gt;"",ROUND(N(I49)-G49,2),"")</f>
        <v/>
      </c>
      <c r="N49" s="22">
        <f>IF(H49&lt;&gt;"",ROUND(N(J49)-H49,2),"")</f>
        <v/>
      </c>
    </row>
    <row r="50" ht="24" customFormat="1" customHeight="1" s="2">
      <c r="A50" s="27" t="n"/>
      <c r="B50" s="27" t="inlineStr">
        <is>
          <t>TOTAL</t>
        </is>
      </c>
      <c r="C50" s="27" t="n"/>
      <c r="D50" s="27" t="n"/>
      <c r="E50" s="28">
        <f>SUM(E20:E49)</f>
        <v/>
      </c>
      <c r="F50" s="28">
        <f>SUM(F20:F49)</f>
        <v/>
      </c>
      <c r="G50" s="28">
        <f>SUM(G20:G49)</f>
        <v/>
      </c>
      <c r="H50" s="27" t="n"/>
      <c r="I50" s="28">
        <f>SUM(I20:I49)</f>
        <v/>
      </c>
      <c r="J50" s="28">
        <f>SUM(J20:J49)</f>
        <v/>
      </c>
      <c r="K50" s="27" t="n"/>
      <c r="L50" s="27" t="n"/>
      <c r="M50" s="28">
        <f>IFERROR(SUM(M20:M49),"")</f>
        <v/>
      </c>
      <c r="N50" s="28">
        <f>IFERROR(SUM(N20:N49),"")</f>
        <v/>
      </c>
    </row>
    <row r="51">
      <c r="M51" s="1" t="n"/>
      <c r="N51" s="1" t="n"/>
    </row>
    <row r="52">
      <c r="M52" s="1" t="n"/>
      <c r="N52" s="1" t="n"/>
    </row>
    <row r="53" ht="16.5" customFormat="1" customHeight="1" s="2">
      <c r="B53" s="4" t="inlineStr">
        <is>
          <t>▶  Expenses</t>
        </is>
      </c>
    </row>
    <row r="54" ht="14.25" customFormat="1" customHeight="1" s="2">
      <c r="B54" s="5" t="inlineStr">
        <is>
          <t>Description</t>
        </is>
      </c>
      <c r="C54" s="5" t="inlineStr">
        <is>
          <t>Amount (₹)</t>
        </is>
      </c>
      <c r="D54" s="5" t="inlineStr">
        <is>
          <t>Status</t>
        </is>
      </c>
      <c r="E54" s="6" t="n"/>
      <c r="F54" s="6" t="n"/>
      <c r="G54" s="5" t="inlineStr">
        <is>
          <t>Mode</t>
        </is>
      </c>
      <c r="H54" s="5" t="inlineStr">
        <is>
          <t>Paid Date</t>
        </is>
      </c>
      <c r="I54" s="6" t="n"/>
      <c r="J54" s="6" t="n"/>
      <c r="K54" s="6" t="n"/>
      <c r="L54" s="6" t="n"/>
      <c r="M54" s="6" t="n"/>
      <c r="N54" s="6" t="n"/>
    </row>
    <row r="55" ht="14.25" customFormat="1" customHeight="1" s="2">
      <c r="B55" s="7" t="inlineStr">
        <is>
          <t>Bescom - Common</t>
        </is>
      </c>
      <c r="C55" s="8" t="n"/>
      <c r="D55" s="9" t="n"/>
      <c r="E55" s="10" t="n"/>
      <c r="F55" s="10" t="n"/>
      <c r="G55" s="10" t="n"/>
      <c r="H55" s="11" t="n"/>
      <c r="I55" s="10" t="n"/>
      <c r="J55" s="10" t="n"/>
      <c r="K55" s="10" t="n"/>
      <c r="L55" s="10" t="n"/>
      <c r="M55" s="10" t="n"/>
      <c r="N55" s="10" t="n"/>
    </row>
    <row r="56" ht="14.25" customFormat="1" customHeight="1" s="2">
      <c r="B56" s="7" t="inlineStr">
        <is>
          <t>BWSBB</t>
        </is>
      </c>
      <c r="C56" s="8" t="n"/>
      <c r="D56" s="9" t="n"/>
      <c r="E56" s="10" t="n"/>
      <c r="F56" s="10" t="n"/>
      <c r="G56" s="10" t="n"/>
      <c r="H56" s="11" t="n"/>
      <c r="I56" s="10" t="n"/>
      <c r="J56" s="10" t="n"/>
      <c r="K56" s="10" t="n"/>
      <c r="L56" s="10" t="n"/>
      <c r="M56" s="10" t="n"/>
      <c r="N56" s="10" t="n"/>
    </row>
    <row r="57" ht="14.25" customFormat="1" customHeight="1" s="2">
      <c r="B57" s="7" t="inlineStr">
        <is>
          <t>Garbage</t>
        </is>
      </c>
      <c r="C57" s="8" t="n"/>
      <c r="D57" s="9" t="n"/>
      <c r="E57" s="10" t="n"/>
      <c r="F57" s="10" t="n"/>
      <c r="G57" s="10" t="n"/>
      <c r="H57" s="11" t="n"/>
      <c r="I57" s="10" t="n"/>
      <c r="J57" s="10" t="n"/>
      <c r="K57" s="10" t="n"/>
      <c r="L57" s="10" t="n"/>
      <c r="M57" s="10" t="n"/>
      <c r="N57" s="10" t="n"/>
    </row>
    <row r="58" ht="14.25" customFormat="1" customHeight="1" s="2">
      <c r="B58" s="7" t="inlineStr">
        <is>
          <t>Security</t>
        </is>
      </c>
      <c r="C58" s="8" t="n"/>
      <c r="D58" s="9" t="n"/>
      <c r="E58" s="10" t="n"/>
      <c r="F58" s="10" t="n"/>
      <c r="G58" s="10" t="n"/>
      <c r="H58" s="11" t="n"/>
      <c r="I58" s="10" t="n"/>
      <c r="J58" s="10" t="n"/>
      <c r="K58" s="10" t="n"/>
      <c r="L58" s="10" t="n"/>
      <c r="M58" s="10" t="n"/>
      <c r="N58" s="10" t="n"/>
    </row>
    <row r="59" ht="14.25" customFormat="1" customHeight="1" s="2">
      <c r="B59" s="7" t="n"/>
      <c r="C59" s="8" t="n"/>
      <c r="D59" s="9" t="n"/>
      <c r="E59" s="10" t="n"/>
      <c r="F59" s="10" t="n"/>
      <c r="G59" s="10" t="n"/>
      <c r="H59" s="11" t="n"/>
      <c r="I59" s="10" t="n"/>
      <c r="J59" s="10" t="n"/>
      <c r="K59" s="10" t="n"/>
      <c r="L59" s="10" t="n"/>
      <c r="M59" s="10" t="n"/>
      <c r="N59" s="10" t="n"/>
    </row>
    <row r="60" ht="14.25" customFormat="1" customHeight="1" s="2">
      <c r="B60" s="7" t="n"/>
      <c r="C60" s="8" t="n"/>
      <c r="D60" s="9" t="n"/>
      <c r="E60" s="10" t="n"/>
      <c r="F60" s="10" t="n"/>
      <c r="G60" s="10" t="n"/>
      <c r="H60" s="11" t="n"/>
      <c r="I60" s="10" t="n"/>
      <c r="J60" s="10" t="n"/>
      <c r="K60" s="10" t="n"/>
      <c r="L60" s="10" t="n"/>
      <c r="M60" s="10" t="n"/>
      <c r="N60" s="10" t="n"/>
    </row>
    <row r="61" ht="14.25" customFormat="1" customHeight="1" s="2">
      <c r="B61" s="7" t="n"/>
      <c r="C61" s="8" t="n"/>
      <c r="D61" s="9" t="n"/>
      <c r="E61" s="10" t="n"/>
      <c r="F61" s="10" t="n"/>
      <c r="G61" s="10" t="n"/>
      <c r="H61" s="11" t="n"/>
      <c r="I61" s="10" t="n"/>
      <c r="J61" s="10" t="n"/>
      <c r="K61" s="10" t="n"/>
      <c r="L61" s="10" t="n"/>
      <c r="M61" s="10" t="n"/>
      <c r="N61" s="10" t="n"/>
    </row>
    <row r="62" ht="14.25" customFormat="1" customHeight="1" s="2">
      <c r="B62" s="7" t="n"/>
      <c r="C62" s="8" t="n"/>
      <c r="D62" s="9" t="n"/>
      <c r="E62" s="10" t="n"/>
      <c r="F62" s="10" t="n"/>
      <c r="G62" s="10" t="n"/>
      <c r="H62" s="11" t="n"/>
      <c r="I62" s="10" t="n"/>
      <c r="J62" s="10" t="n"/>
      <c r="K62" s="10" t="n"/>
      <c r="L62" s="10" t="n"/>
      <c r="M62" s="10" t="n"/>
      <c r="N62" s="10" t="n"/>
    </row>
    <row r="63" ht="15" customFormat="1" customHeight="1" s="2">
      <c r="B63" s="12" t="inlineStr">
        <is>
          <t>Total</t>
        </is>
      </c>
      <c r="C63" s="13">
        <f>SUM(C55:C62)</f>
        <v/>
      </c>
      <c r="D63" s="14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</row>
  </sheetData>
  <mergeCells count="3">
    <mergeCell ref="B2:N2"/>
    <mergeCell ref="B4:N4"/>
    <mergeCell ref="B53:N53"/>
  </mergeCells>
  <conditionalFormatting sqref="I20:I49">
    <cfRule type="expression" priority="2" dxfId="0">
      <formula>AND(I20&lt;&gt;"",F20&lt;&gt;"")</formula>
    </cfRule>
    <cfRule type="expression" priority="3" dxfId="1">
      <formula>AND(I20="",F20&lt;&gt;"")</formula>
    </cfRule>
  </conditionalFormatting>
  <conditionalFormatting sqref="J20:J49">
    <cfRule type="expression" priority="4" dxfId="0">
      <formula>AND(J20&lt;&gt;"",G20&lt;&gt;"")</formula>
    </cfRule>
    <cfRule type="expression" priority="5" dxfId="1">
      <formula>AND(J20="",G20&lt;&gt;"")</formula>
    </cfRule>
  </conditionalFormatting>
  <dataValidations count="7">
    <dataValidation sqref="D10:D13" showDropDown="0" showInputMessage="1" showErrorMessage="1" allowBlank="1" type="list" errorStyle="stop">
      <formula1>"PAID,NOT_PAID"</formula1>
      <formula2>0</formula2>
    </dataValidation>
    <dataValidation sqref="D55:D62" showDropDown="0" showInputMessage="1" showErrorMessage="1" allowBlank="1" type="list" errorStyle="stop">
      <formula1>"PAID,NOT_PAID"</formula1>
      <formula2>0</formula2>
    </dataValidation>
    <dataValidation sqref="D6:D13" showDropDown="0" showInputMessage="1" showErrorMessage="1" allowBlank="1" type="list" errorStyle="stop">
      <formula1>"PAID,NOT_PAID"</formula1>
      <formula2>0</formula2>
    </dataValidation>
    <dataValidation sqref="G10:G13" showDropDown="0" showInputMessage="1" showErrorMessage="1" allowBlank="1" type="list" errorStyle="stop">
      <formula1>"CASH,ONLINE"</formula1>
      <formula2>0</formula2>
    </dataValidation>
    <dataValidation sqref="G5:G13" showDropDown="0" showInputMessage="1" showErrorMessage="1" allowBlank="1" type="list" errorStyle="stop">
      <formula1>"CASH,ONLINE"</formula1>
      <formula2>0</formula2>
    </dataValidation>
    <dataValidation sqref="G54:G62" showDropDown="0" showInputMessage="1" showErrorMessage="1" allowBlank="1" type="list" errorStyle="stop">
      <formula1>"CASH,ONLINE"</formula1>
      <formula2>0</formula2>
    </dataValidation>
    <dataValidation sqref="K1:K1063" showDropDown="0" showInputMessage="1" showErrorMessage="1" allowBlank="1" type="list" errorStyle="stop">
      <formula1>"CASH,ONLINE"</formula1>
      <formula2>0</formula2>
    </dataValidation>
  </dataValidation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BS</dc:creator>
  <dc:language xmlns:dc="http://purl.org/dc/elements/1.1/">en-US</dc:language>
  <dcterms:created xmlns:dcterms="http://purl.org/dc/terms/" xmlns:xsi="http://www.w3.org/2001/XMLSchema-instance" xsi:type="dcterms:W3CDTF">2026-05-10T16:33:43Z</dcterms:created>
  <dcterms:modified xmlns:dcterms="http://purl.org/dc/terms/" xmlns:xsi="http://www.w3.org/2001/XMLSchema-instance" xsi:type="dcterms:W3CDTF">2026-09-28T16:59:25Z</dcterms:modified>
  <cp:lastModifiedBy>Anand B S</cp:lastModifiedBy>
</cp:coreProperties>
</file>